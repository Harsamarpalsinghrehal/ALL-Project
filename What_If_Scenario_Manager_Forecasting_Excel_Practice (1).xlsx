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d.docs.live.net/aa424aa30e959e51/Documents/"/>
    </mc:Choice>
  </mc:AlternateContent>
  <xr:revisionPtr revIDLastSave="5" documentId="8_{87741C03-AF81-439D-A2C0-6232D327F11A}" xr6:coauthVersionLast="47" xr6:coauthVersionMax="47" xr10:uidLastSave="{5448059E-8AF8-4584-B528-D4DFEE4BAC5A}"/>
  <bookViews>
    <workbookView xWindow="-120" yWindow="-120" windowWidth="20730" windowHeight="11040" firstSheet="2" activeTab="2" xr2:uid="{00000000-000D-0000-FFFF-FFFF00000000}"/>
  </bookViews>
  <sheets>
    <sheet name="Read Me" sheetId="1" r:id="rId1"/>
    <sheet name="Historical_Data" sheetId="2" r:id="rId2"/>
    <sheet name="Scenario_Assumptions" sheetId="3" r:id="rId3"/>
    <sheet name="What_If_Model" sheetId="4" r:id="rId4"/>
    <sheet name="Forecast_Practice" sheetId="5" r:id="rId5"/>
    <sheet name="Scenario_Manager_Guide" sheetId="6" r:id="rId6"/>
    <sheet name="Practice_Tasks" sheetId="7" r:id="rId7"/>
    <sheet name="Instructor_Answer_Key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8" l="1"/>
  <c r="C7" i="8"/>
  <c r="C6" i="8"/>
  <c r="C5" i="8"/>
  <c r="D38" i="5"/>
  <c r="D37" i="5"/>
  <c r="D36" i="5"/>
  <c r="D35" i="5"/>
  <c r="D34" i="5"/>
  <c r="D33" i="5"/>
  <c r="A33" i="5"/>
  <c r="A34" i="5" s="1"/>
  <c r="A35" i="5" s="1"/>
  <c r="A36" i="5" s="1"/>
  <c r="A37" i="5" s="1"/>
  <c r="A38" i="5" s="1"/>
  <c r="D32" i="5"/>
  <c r="E32" i="5" s="1"/>
  <c r="F32" i="5" s="1"/>
  <c r="D31" i="5"/>
  <c r="E31" i="5" s="1"/>
  <c r="F31" i="5" s="1"/>
  <c r="D30" i="5"/>
  <c r="E30" i="5" s="1"/>
  <c r="F30" i="5" s="1"/>
  <c r="D29" i="5"/>
  <c r="E29" i="5" s="1"/>
  <c r="F29" i="5" s="1"/>
  <c r="D28" i="5"/>
  <c r="E28" i="5" s="1"/>
  <c r="F28" i="5" s="1"/>
  <c r="D27" i="5"/>
  <c r="E27" i="5" s="1"/>
  <c r="F27" i="5" s="1"/>
  <c r="D26" i="5"/>
  <c r="E26" i="5" s="1"/>
  <c r="F26" i="5" s="1"/>
  <c r="D25" i="5"/>
  <c r="E25" i="5" s="1"/>
  <c r="F25" i="5" s="1"/>
  <c r="D24" i="5"/>
  <c r="E24" i="5" s="1"/>
  <c r="F24" i="5" s="1"/>
  <c r="D23" i="5"/>
  <c r="E23" i="5" s="1"/>
  <c r="F23" i="5" s="1"/>
  <c r="D22" i="5"/>
  <c r="E22" i="5" s="1"/>
  <c r="F22" i="5" s="1"/>
  <c r="D21" i="5"/>
  <c r="E21" i="5" s="1"/>
  <c r="F21" i="5" s="1"/>
  <c r="D20" i="5"/>
  <c r="E20" i="5" s="1"/>
  <c r="F20" i="5" s="1"/>
  <c r="D19" i="5"/>
  <c r="E19" i="5" s="1"/>
  <c r="F19" i="5" s="1"/>
  <c r="D18" i="5"/>
  <c r="E18" i="5" s="1"/>
  <c r="F18" i="5" s="1"/>
  <c r="D17" i="5"/>
  <c r="E17" i="5" s="1"/>
  <c r="F17" i="5" s="1"/>
  <c r="D16" i="5"/>
  <c r="E16" i="5" s="1"/>
  <c r="F16" i="5" s="1"/>
  <c r="D15" i="5"/>
  <c r="E15" i="5" s="1"/>
  <c r="F15" i="5" s="1"/>
  <c r="D14" i="5"/>
  <c r="E14" i="5" s="1"/>
  <c r="F14" i="5" s="1"/>
  <c r="D13" i="5"/>
  <c r="E13" i="5" s="1"/>
  <c r="F13" i="5" s="1"/>
  <c r="D12" i="5"/>
  <c r="E12" i="5" s="1"/>
  <c r="F12" i="5" s="1"/>
  <c r="D11" i="5"/>
  <c r="E11" i="5" s="1"/>
  <c r="F11" i="5" s="1"/>
  <c r="D10" i="5"/>
  <c r="E10" i="5" s="1"/>
  <c r="F10" i="5" s="1"/>
  <c r="D9" i="5"/>
  <c r="E9" i="5" s="1"/>
  <c r="F9" i="5" s="1"/>
  <c r="D8" i="5"/>
  <c r="E8" i="5" s="1"/>
  <c r="F8" i="5" s="1"/>
  <c r="D7" i="5"/>
  <c r="E7" i="5" s="1"/>
  <c r="F7" i="5" s="1"/>
  <c r="D6" i="5"/>
  <c r="E6" i="5" s="1"/>
  <c r="F6" i="5" s="1"/>
  <c r="D5" i="5"/>
  <c r="E5" i="5" s="1"/>
  <c r="F5" i="5" s="1"/>
  <c r="D4" i="5"/>
  <c r="E4" i="5" s="1"/>
  <c r="F4" i="5" s="1"/>
  <c r="D3" i="5"/>
  <c r="E3" i="5" s="1"/>
  <c r="F3" i="5" s="1"/>
  <c r="B18" i="4"/>
  <c r="B15" i="4"/>
  <c r="B16" i="4" s="1"/>
  <c r="B14" i="4"/>
  <c r="B17" i="4" l="1"/>
  <c r="B19" i="4"/>
  <c r="B20" i="4" s="1"/>
</calcChain>
</file>

<file path=xl/sharedStrings.xml><?xml version="1.0" encoding="utf-8"?>
<sst xmlns="http://schemas.openxmlformats.org/spreadsheetml/2006/main" count="231" uniqueCount="143">
  <si>
    <t>WHAT-IF ANALYSIS, SCENARIO MANAGER &amp; FORECASTING — PRACTICE WORKBOOK</t>
  </si>
  <si>
    <t>Business case</t>
  </si>
  <si>
    <t>You are a Business Analyst for a growing retail company. Management wants to understand future sales, compare business scenarios and forecast sales.</t>
  </si>
  <si>
    <t>Learning journey</t>
  </si>
  <si>
    <t>1. Build a linked model. 2. Change assumptions. 3. Compare scenarios. 4. Forecast future sales. 5. Recommend a strategy.</t>
  </si>
  <si>
    <t>Teaching principle</t>
  </si>
  <si>
    <t>Students should change assumption cells, not manually overwrite calculated outputs.</t>
  </si>
  <si>
    <t>HISTORICAL DATA</t>
  </si>
  <si>
    <t>Month</t>
  </si>
  <si>
    <t>Sales</t>
  </si>
  <si>
    <t>Units_Sold</t>
  </si>
  <si>
    <t>Marketing_Spend</t>
  </si>
  <si>
    <t>Month_Name</t>
  </si>
  <si>
    <t>Year</t>
  </si>
  <si>
    <t>Quarter</t>
  </si>
  <si>
    <t>Avg_Selling_Price</t>
  </si>
  <si>
    <t>Operating_Cost</t>
  </si>
  <si>
    <t>Profit</t>
  </si>
  <si>
    <t>Jan</t>
  </si>
  <si>
    <t>Q1</t>
  </si>
  <si>
    <t>Feb</t>
  </si>
  <si>
    <t>Mar</t>
  </si>
  <si>
    <t>Apr</t>
  </si>
  <si>
    <t>Q2</t>
  </si>
  <si>
    <t>May</t>
  </si>
  <si>
    <t>Jun</t>
  </si>
  <si>
    <t>Jul</t>
  </si>
  <si>
    <t>Q3</t>
  </si>
  <si>
    <t>Aug</t>
  </si>
  <si>
    <t>Sep</t>
  </si>
  <si>
    <t>Oct</t>
  </si>
  <si>
    <t>Q4</t>
  </si>
  <si>
    <t>Nov</t>
  </si>
  <si>
    <t>Dec</t>
  </si>
  <si>
    <t>SCENARIO ASSUMPTIONS</t>
  </si>
  <si>
    <t>Scenario</t>
  </si>
  <si>
    <t>Sales_Growth</t>
  </si>
  <si>
    <t>Volume_Growth</t>
  </si>
  <si>
    <t>Price_Growth</t>
  </si>
  <si>
    <t>Cost_Ratio</t>
  </si>
  <si>
    <t>Marketing_Growth</t>
  </si>
  <si>
    <t>Base</t>
  </si>
  <si>
    <t>Conservative</t>
  </si>
  <si>
    <t>Growth</t>
  </si>
  <si>
    <t>Aggressive</t>
  </si>
  <si>
    <t>WHAT-IF MODEL</t>
  </si>
  <si>
    <t>Base Sales (Latest Month)</t>
  </si>
  <si>
    <t>Starting point</t>
  </si>
  <si>
    <t>Base Units (Latest Month)</t>
  </si>
  <si>
    <t>Base ASP</t>
  </si>
  <si>
    <t>Base Marketing Spend</t>
  </si>
  <si>
    <t>ASSUMPTIONS</t>
  </si>
  <si>
    <t xml:space="preserve"> </t>
  </si>
  <si>
    <t>Sales Growth</t>
  </si>
  <si>
    <t>Change for What-If analysis</t>
  </si>
  <si>
    <t>Volume Growth</t>
  </si>
  <si>
    <t>Price Growth</t>
  </si>
  <si>
    <t>Cost Ratio</t>
  </si>
  <si>
    <t>Marketing Growth</t>
  </si>
  <si>
    <t>Projected Units</t>
  </si>
  <si>
    <t>Projected ASP</t>
  </si>
  <si>
    <t>Projected Revenue</t>
  </si>
  <si>
    <t>Projected Operating Cost</t>
  </si>
  <si>
    <t>Projected Marketing Spend</t>
  </si>
  <si>
    <t>Projected Profit</t>
  </si>
  <si>
    <t>Profit Margin</t>
  </si>
  <si>
    <t>FORECAST PRACTICE</t>
  </si>
  <si>
    <t>Actual Sales</t>
  </si>
  <si>
    <t>Time Index</t>
  </si>
  <si>
    <t>Linear Forecast</t>
  </si>
  <si>
    <t>Forecast Error</t>
  </si>
  <si>
    <t>Absolute % Error</t>
  </si>
  <si>
    <t>SCENARIO MANAGER GUIDE</t>
  </si>
  <si>
    <t>Changing cells in What_If_Model: B8:B12</t>
  </si>
  <si>
    <t>Steps</t>
  </si>
  <si>
    <t>1. Data → What-If Analysis → Scenario Manager</t>
  </si>
  <si>
    <t>2. Add four scenarios</t>
  </si>
  <si>
    <t>3. Changing cells = What_If_Model!B8:B12</t>
  </si>
  <si>
    <t>4. Result cells = What_If_Model!B16:B20</t>
  </si>
  <si>
    <t>5. Generate Scenario Summary</t>
  </si>
  <si>
    <t>PRACTICE TASKS</t>
  </si>
  <si>
    <t>Module</t>
  </si>
  <si>
    <t>Task_No</t>
  </si>
  <si>
    <t>Student_Task</t>
  </si>
  <si>
    <t>Expected_Output</t>
  </si>
  <si>
    <t>What-If Analysis</t>
  </si>
  <si>
    <t>Build a 2026 baseline model using the latest month as the starting point.</t>
  </si>
  <si>
    <t>Linked assumptions and formulas</t>
  </si>
  <si>
    <t>Calculate projected units using volume growth.</t>
  </si>
  <si>
    <t>Calculate projected ASP using price growth.</t>
  </si>
  <si>
    <t>Calculate projected revenue from units × ASP.</t>
  </si>
  <si>
    <t>Calculate projected operating cost.</t>
  </si>
  <si>
    <t>Revenue × Cost Ratio</t>
  </si>
  <si>
    <t>Calculate projected marketing spend.</t>
  </si>
  <si>
    <t>Base Marketing × (1 + Marketing Growth)</t>
  </si>
  <si>
    <t>Calculate projected profit and profit margin.</t>
  </si>
  <si>
    <t>Profit and Margin</t>
  </si>
  <si>
    <t>Scenario Manager</t>
  </si>
  <si>
    <t>Create the Base scenario.</t>
  </si>
  <si>
    <t>Create the Conservative scenario.</t>
  </si>
  <si>
    <t>Create the Growth scenario.</t>
  </si>
  <si>
    <t>Create the Aggressive scenario.</t>
  </si>
  <si>
    <t>Generate a Scenario Summary comparing profit and margin.</t>
  </si>
  <si>
    <t>Scenario Summary</t>
  </si>
  <si>
    <t>Identify the highest-profit scenario.</t>
  </si>
  <si>
    <t>Business interpretation</t>
  </si>
  <si>
    <t>Identify the best risk-adjusted scenario and justify it.</t>
  </si>
  <si>
    <t>Recommendation</t>
  </si>
  <si>
    <t>Forecasting</t>
  </si>
  <si>
    <t>Create a monthly sales line chart.</t>
  </si>
  <si>
    <t>Trend visualization</t>
  </si>
  <si>
    <t>Create a 6-month linear forecast.</t>
  </si>
  <si>
    <t>FORECAST.LINEAR</t>
  </si>
  <si>
    <t>Create an Excel Forecast Sheet for the next 6 months.</t>
  </si>
  <si>
    <t>Forecast Sheet</t>
  </si>
  <si>
    <t>Compare forecast with scenario revenue.</t>
  </si>
  <si>
    <t>Interpretation</t>
  </si>
  <si>
    <t>Calculate forecast error for historical months.</t>
  </si>
  <si>
    <t>Actual − Forecast</t>
  </si>
  <si>
    <t>Calculate MAPE where actual and forecast are available.</t>
  </si>
  <si>
    <t>Forecast accuracy</t>
  </si>
  <si>
    <t>Integrated Project</t>
  </si>
  <si>
    <t>Build a management dashboard with Actual, Forecast, Scenario Revenue and Profit.</t>
  </si>
  <si>
    <t>Dashboard</t>
  </si>
  <si>
    <t>Recommend a business strategy from the model.</t>
  </si>
  <si>
    <t>Written recommendation</t>
  </si>
  <si>
    <t>INSTRUCTOR ANSWER KEY</t>
  </si>
  <si>
    <t>Task</t>
  </si>
  <si>
    <t>Location</t>
  </si>
  <si>
    <t>Formula / Setup</t>
  </si>
  <si>
    <t>Baseline model</t>
  </si>
  <si>
    <t>What_If_Model!B2:B20</t>
  </si>
  <si>
    <t>Use formulas linked to assumption cells.</t>
  </si>
  <si>
    <t>Scenario_Manager_Guide</t>
  </si>
  <si>
    <t>Changing cells B8:B12; result cells B16:B20.</t>
  </si>
  <si>
    <t>Linear forecast</t>
  </si>
  <si>
    <t>Forecast_Practice!D3:D38</t>
  </si>
  <si>
    <t>Forecast error</t>
  </si>
  <si>
    <t>Forecast_Practice!E3:E32</t>
  </si>
  <si>
    <t>Absolute % error</t>
  </si>
  <si>
    <t>Forecast_Practice!F3:F32</t>
  </si>
  <si>
    <t>MAPE</t>
  </si>
  <si>
    <t>Forecast_Practice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</si>
</sst>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0.0%"/>
    <numFmt numFmtId="166" formatCode="\₹#,##0"/>
  </numFmts>
  <fonts count="5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0" xfId="0" applyFont="1" applyFill="1" applyAlignment="1">
      <alignment wrapText="1"/>
    </xf>
    <xf numFmtId="17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164" fontId="3" fillId="3" borderId="0" xfId="0" applyNumberFormat="1" applyFont="1" applyFill="1"/>
    <xf numFmtId="0" fontId="4" fillId="4" borderId="0" xfId="0" applyFont="1" applyFill="1"/>
    <xf numFmtId="166" fontId="0" fillId="0" borderId="0" xfId="0" applyNumberFormat="1"/>
    <xf numFmtId="0" fontId="0" fillId="0" borderId="0" xfId="0"/>
    <xf numFmtId="0" fontId="1" fillId="2" borderId="0" xfId="0" applyFont="1" applyFill="1" applyAlignment="1"/>
    <xf numFmtId="0" fontId="0" fillId="0" borderId="0" xfId="0" applyAlignment="1"/>
    <xf numFmtId="0" fontId="2" fillId="2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Historical" displayName="tblHistorical" ref="A2:J32">
  <autoFilter ref="A2:J32" xr:uid="{00000000-0009-0000-0100-000001000000}"/>
  <tableColumns count="10">
    <tableColumn id="1" xr3:uid="{00000000-0010-0000-0000-000001000000}" name="Month"/>
    <tableColumn id="2" xr3:uid="{00000000-0010-0000-0000-000002000000}" name="Sales"/>
    <tableColumn id="3" xr3:uid="{00000000-0010-0000-0000-000003000000}" name="Units_Sold"/>
    <tableColumn id="4" xr3:uid="{00000000-0010-0000-0000-000004000000}" name="Marketing_Spend"/>
    <tableColumn id="5" xr3:uid="{00000000-0010-0000-0000-000005000000}" name="Month_Name"/>
    <tableColumn id="6" xr3:uid="{00000000-0010-0000-0000-000006000000}" name="Year"/>
    <tableColumn id="7" xr3:uid="{00000000-0010-0000-0000-000007000000}" name="Quarter"/>
    <tableColumn id="8" xr3:uid="{00000000-0010-0000-0000-000008000000}" name="Avg_Selling_Price"/>
    <tableColumn id="9" xr3:uid="{00000000-0010-0000-0000-000009000000}" name="Operating_Cost"/>
    <tableColumn id="10" xr3:uid="{00000000-0010-0000-0000-00000A000000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cenarios" displayName="tblScenarios" ref="A2:F6">
  <autoFilter ref="A2:F6" xr:uid="{00000000-0009-0000-0100-000002000000}"/>
  <tableColumns count="6">
    <tableColumn id="1" xr3:uid="{00000000-0010-0000-0100-000001000000}" name="Scenario"/>
    <tableColumn id="2" xr3:uid="{00000000-0010-0000-0100-000002000000}" name="Sales_Growth"/>
    <tableColumn id="3" xr3:uid="{00000000-0010-0000-0100-000003000000}" name="Volume_Growth"/>
    <tableColumn id="4" xr3:uid="{00000000-0010-0000-0100-000004000000}" name="Price_Growth"/>
    <tableColumn id="5" xr3:uid="{00000000-0010-0000-0100-000005000000}" name="Cost_Ratio"/>
    <tableColumn id="6" xr3:uid="{00000000-0010-0000-0100-000006000000}" name="Marketing_Growt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Tasks" displayName="tblTasks" ref="A2:D24">
  <autoFilter ref="A2:D24" xr:uid="{00000000-0009-0000-0100-000003000000}"/>
  <tableColumns count="4">
    <tableColumn id="1" xr3:uid="{00000000-0010-0000-0200-000001000000}" name="Module"/>
    <tableColumn id="2" xr3:uid="{00000000-0010-0000-0200-000002000000}" name="Task_No"/>
    <tableColumn id="3" xr3:uid="{00000000-0010-0000-0200-000003000000}" name="Student_Task"/>
    <tableColumn id="4" xr3:uid="{00000000-0010-0000-0200-000004000000}" name="Expected_Outpu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Answers" displayName="tblAnswers" ref="A2:C8">
  <autoFilter ref="A2:C8" xr:uid="{00000000-0009-0000-0100-000004000000}"/>
  <tableColumns count="3">
    <tableColumn id="1" xr3:uid="{00000000-0010-0000-0300-000001000000}" name="Task"/>
    <tableColumn id="2" xr3:uid="{00000000-0010-0000-0300-000002000000}" name="Location"/>
    <tableColumn id="3" xr3:uid="{00000000-0010-0000-0300-000003000000}" name="Formula / Set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showGridLines="0" workbookViewId="0">
      <selection sqref="A1:F1"/>
    </sheetView>
  </sheetViews>
  <sheetFormatPr defaultRowHeight="15"/>
  <cols>
    <col min="1" max="1" width="110" customWidth="1"/>
  </cols>
  <sheetData>
    <row r="1" spans="1:6" ht="23.25">
      <c r="A1" s="10" t="s">
        <v>0</v>
      </c>
      <c r="B1" s="11"/>
      <c r="C1" s="11"/>
      <c r="D1" s="11"/>
      <c r="E1" s="11"/>
      <c r="F1" s="11"/>
    </row>
    <row r="2" spans="1:6">
      <c r="A2" s="9" t="s">
        <v>1</v>
      </c>
      <c r="B2" s="9"/>
      <c r="C2" s="9"/>
      <c r="D2" s="9"/>
      <c r="E2" s="9"/>
      <c r="F2" s="9"/>
    </row>
    <row r="3" spans="1:6">
      <c r="A3" s="9" t="s">
        <v>2</v>
      </c>
      <c r="B3" s="9"/>
      <c r="C3" s="9"/>
      <c r="D3" s="9"/>
      <c r="E3" s="9"/>
      <c r="F3" s="9"/>
    </row>
    <row r="4" spans="1:6">
      <c r="A4" s="9" t="s">
        <v>3</v>
      </c>
      <c r="B4" s="9"/>
      <c r="C4" s="9"/>
      <c r="D4" s="9"/>
      <c r="E4" s="9"/>
      <c r="F4" s="9"/>
    </row>
    <row r="5" spans="1:6">
      <c r="A5" s="9" t="s">
        <v>4</v>
      </c>
      <c r="B5" s="9"/>
      <c r="C5" s="9"/>
      <c r="D5" s="9"/>
      <c r="E5" s="9"/>
      <c r="F5" s="9"/>
    </row>
    <row r="6" spans="1:6">
      <c r="A6" s="9" t="s">
        <v>5</v>
      </c>
      <c r="B6" s="9"/>
      <c r="C6" s="9"/>
      <c r="D6" s="9"/>
      <c r="E6" s="9"/>
      <c r="F6" s="9"/>
    </row>
    <row r="7" spans="1:6">
      <c r="A7" s="9" t="s">
        <v>6</v>
      </c>
      <c r="B7" s="9"/>
      <c r="C7" s="9"/>
      <c r="D7" s="9"/>
      <c r="E7" s="9"/>
      <c r="F7" s="9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showGridLines="0" workbookViewId="0">
      <pane ySplit="2" topLeftCell="A3" activePane="bottomLeft" state="frozen"/>
      <selection pane="bottomLeft" sqref="A1:J1"/>
    </sheetView>
  </sheetViews>
  <sheetFormatPr defaultRowHeight="15"/>
  <cols>
    <col min="1" max="1" width="21" customWidth="1"/>
    <col min="2" max="3" width="12" customWidth="1"/>
    <col min="4" max="4" width="17" customWidth="1"/>
    <col min="5" max="7" width="12" customWidth="1"/>
    <col min="8" max="8" width="20" customWidth="1"/>
    <col min="9" max="9" width="16" customWidth="1"/>
    <col min="10" max="10" width="12" customWidth="1"/>
  </cols>
  <sheetData>
    <row r="1" spans="1:10" ht="21">
      <c r="A1" s="12" t="s">
        <v>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30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>
      <c r="A3" s="2">
        <v>45292</v>
      </c>
      <c r="B3" s="3">
        <v>820000</v>
      </c>
      <c r="C3" s="9">
        <v>820</v>
      </c>
      <c r="D3" s="9">
        <v>65000</v>
      </c>
      <c r="E3" s="9" t="s">
        <v>18</v>
      </c>
      <c r="F3" s="3">
        <v>2024</v>
      </c>
      <c r="G3" s="9" t="s">
        <v>19</v>
      </c>
      <c r="H3" s="3">
        <v>1000</v>
      </c>
      <c r="I3" s="3">
        <v>524800</v>
      </c>
      <c r="J3" s="9">
        <v>230200</v>
      </c>
    </row>
    <row r="4" spans="1:10">
      <c r="A4" s="2">
        <v>45323</v>
      </c>
      <c r="B4" s="3">
        <v>850000</v>
      </c>
      <c r="C4" s="9">
        <v>850</v>
      </c>
      <c r="D4" s="9">
        <v>67000</v>
      </c>
      <c r="E4" s="9" t="s">
        <v>20</v>
      </c>
      <c r="F4" s="3">
        <v>2024</v>
      </c>
      <c r="G4" s="9" t="s">
        <v>19</v>
      </c>
      <c r="H4" s="3">
        <v>1000</v>
      </c>
      <c r="I4" s="3">
        <v>544000</v>
      </c>
      <c r="J4" s="9">
        <v>239000</v>
      </c>
    </row>
    <row r="5" spans="1:10">
      <c r="A5" s="2">
        <v>45352</v>
      </c>
      <c r="B5" s="3">
        <v>880000</v>
      </c>
      <c r="C5" s="9">
        <v>875</v>
      </c>
      <c r="D5" s="9">
        <v>70000</v>
      </c>
      <c r="E5" s="9" t="s">
        <v>21</v>
      </c>
      <c r="F5" s="3">
        <v>2024</v>
      </c>
      <c r="G5" s="9" t="s">
        <v>19</v>
      </c>
      <c r="H5" s="3">
        <v>1005.714285714286</v>
      </c>
      <c r="I5" s="3">
        <v>563200</v>
      </c>
      <c r="J5" s="9">
        <v>246800</v>
      </c>
    </row>
    <row r="6" spans="1:10">
      <c r="A6" s="2">
        <v>45383</v>
      </c>
      <c r="B6" s="3">
        <v>900000</v>
      </c>
      <c r="C6" s="9">
        <v>890</v>
      </c>
      <c r="D6" s="9">
        <v>72000</v>
      </c>
      <c r="E6" s="9" t="s">
        <v>22</v>
      </c>
      <c r="F6" s="3">
        <v>2024</v>
      </c>
      <c r="G6" s="9" t="s">
        <v>23</v>
      </c>
      <c r="H6" s="3">
        <v>1011.23595505618</v>
      </c>
      <c r="I6" s="3">
        <v>576000</v>
      </c>
      <c r="J6" s="9">
        <v>252000</v>
      </c>
    </row>
    <row r="7" spans="1:10">
      <c r="A7" s="2">
        <v>45413</v>
      </c>
      <c r="B7" s="3">
        <v>930000</v>
      </c>
      <c r="C7" s="9">
        <v>920</v>
      </c>
      <c r="D7" s="9">
        <v>74000</v>
      </c>
      <c r="E7" s="9" t="s">
        <v>24</v>
      </c>
      <c r="F7" s="3">
        <v>2024</v>
      </c>
      <c r="G7" s="9" t="s">
        <v>23</v>
      </c>
      <c r="H7" s="3">
        <v>1010.869565217391</v>
      </c>
      <c r="I7" s="3">
        <v>595200</v>
      </c>
      <c r="J7" s="9">
        <v>260800</v>
      </c>
    </row>
    <row r="8" spans="1:10">
      <c r="A8" s="2">
        <v>45444</v>
      </c>
      <c r="B8" s="3">
        <v>970000</v>
      </c>
      <c r="C8" s="9">
        <v>960</v>
      </c>
      <c r="D8" s="9">
        <v>78000</v>
      </c>
      <c r="E8" s="9" t="s">
        <v>25</v>
      </c>
      <c r="F8" s="3">
        <v>2024</v>
      </c>
      <c r="G8" s="9" t="s">
        <v>23</v>
      </c>
      <c r="H8" s="3">
        <v>1010.416666666667</v>
      </c>
      <c r="I8" s="3">
        <v>620800</v>
      </c>
      <c r="J8" s="9">
        <v>271200</v>
      </c>
    </row>
    <row r="9" spans="1:10">
      <c r="A9" s="2">
        <v>45474</v>
      </c>
      <c r="B9" s="3">
        <v>950000</v>
      </c>
      <c r="C9" s="9">
        <v>940</v>
      </c>
      <c r="D9" s="9">
        <v>76000</v>
      </c>
      <c r="E9" s="9" t="s">
        <v>26</v>
      </c>
      <c r="F9" s="3">
        <v>2024</v>
      </c>
      <c r="G9" s="9" t="s">
        <v>27</v>
      </c>
      <c r="H9" s="3">
        <v>1010.63829787234</v>
      </c>
      <c r="I9" s="3">
        <v>608000</v>
      </c>
      <c r="J9" s="9">
        <v>266000</v>
      </c>
    </row>
    <row r="10" spans="1:10">
      <c r="A10" s="2">
        <v>45505</v>
      </c>
      <c r="B10" s="3">
        <v>990000</v>
      </c>
      <c r="C10" s="9">
        <v>980</v>
      </c>
      <c r="D10" s="9">
        <v>80000</v>
      </c>
      <c r="E10" s="9" t="s">
        <v>28</v>
      </c>
      <c r="F10" s="3">
        <v>2024</v>
      </c>
      <c r="G10" s="9" t="s">
        <v>27</v>
      </c>
      <c r="H10" s="3">
        <v>1010.204081632653</v>
      </c>
      <c r="I10" s="3">
        <v>633600</v>
      </c>
      <c r="J10" s="9">
        <v>276400</v>
      </c>
    </row>
    <row r="11" spans="1:10">
      <c r="A11" s="2">
        <v>45536</v>
      </c>
      <c r="B11" s="3">
        <v>1030000</v>
      </c>
      <c r="C11" s="9">
        <v>1010</v>
      </c>
      <c r="D11" s="9">
        <v>82000</v>
      </c>
      <c r="E11" s="9" t="s">
        <v>29</v>
      </c>
      <c r="F11" s="3">
        <v>2024</v>
      </c>
      <c r="G11" s="9" t="s">
        <v>27</v>
      </c>
      <c r="H11" s="3">
        <v>1019.80198019802</v>
      </c>
      <c r="I11" s="3">
        <v>659200</v>
      </c>
      <c r="J11" s="9">
        <v>288800</v>
      </c>
    </row>
    <row r="12" spans="1:10">
      <c r="A12" s="2">
        <v>45566</v>
      </c>
      <c r="B12" s="3">
        <v>1080000</v>
      </c>
      <c r="C12" s="9">
        <v>1060</v>
      </c>
      <c r="D12" s="9">
        <v>85000</v>
      </c>
      <c r="E12" s="9" t="s">
        <v>30</v>
      </c>
      <c r="F12" s="3">
        <v>2024</v>
      </c>
      <c r="G12" s="9" t="s">
        <v>31</v>
      </c>
      <c r="H12" s="3">
        <v>1018.867924528302</v>
      </c>
      <c r="I12" s="3">
        <v>691200</v>
      </c>
      <c r="J12" s="9">
        <v>303800</v>
      </c>
    </row>
    <row r="13" spans="1:10">
      <c r="A13" s="2">
        <v>45597</v>
      </c>
      <c r="B13" s="3">
        <v>1140000</v>
      </c>
      <c r="C13" s="9">
        <v>1120</v>
      </c>
      <c r="D13" s="9">
        <v>90000</v>
      </c>
      <c r="E13" s="9" t="s">
        <v>32</v>
      </c>
      <c r="F13" s="3">
        <v>2024</v>
      </c>
      <c r="G13" s="9" t="s">
        <v>31</v>
      </c>
      <c r="H13" s="3">
        <v>1017.857142857143</v>
      </c>
      <c r="I13" s="3">
        <v>729600</v>
      </c>
      <c r="J13" s="9">
        <v>320400</v>
      </c>
    </row>
    <row r="14" spans="1:10">
      <c r="A14" s="2">
        <v>45627</v>
      </c>
      <c r="B14" s="3">
        <v>1280000</v>
      </c>
      <c r="C14" s="9">
        <v>1250</v>
      </c>
      <c r="D14" s="9">
        <v>105000</v>
      </c>
      <c r="E14" s="9" t="s">
        <v>33</v>
      </c>
      <c r="F14" s="3">
        <v>2024</v>
      </c>
      <c r="G14" s="9" t="s">
        <v>31</v>
      </c>
      <c r="H14" s="3">
        <v>1024</v>
      </c>
      <c r="I14" s="3">
        <v>819200</v>
      </c>
      <c r="J14" s="9">
        <v>355800</v>
      </c>
    </row>
    <row r="15" spans="1:10">
      <c r="A15" s="2">
        <v>45658</v>
      </c>
      <c r="B15" s="3">
        <v>870000</v>
      </c>
      <c r="C15" s="9">
        <v>860</v>
      </c>
      <c r="D15" s="9">
        <v>68000</v>
      </c>
      <c r="E15" s="9" t="s">
        <v>18</v>
      </c>
      <c r="F15" s="3">
        <v>2025</v>
      </c>
      <c r="G15" s="9" t="s">
        <v>19</v>
      </c>
      <c r="H15" s="3">
        <v>1011.627906976744</v>
      </c>
      <c r="I15" s="3">
        <v>556800</v>
      </c>
      <c r="J15" s="9">
        <v>245200</v>
      </c>
    </row>
    <row r="16" spans="1:10">
      <c r="A16" s="2">
        <v>45689</v>
      </c>
      <c r="B16" s="3">
        <v>900000</v>
      </c>
      <c r="C16" s="9">
        <v>890</v>
      </c>
      <c r="D16" s="9">
        <v>70000</v>
      </c>
      <c r="E16" s="9" t="s">
        <v>20</v>
      </c>
      <c r="F16" s="3">
        <v>2025</v>
      </c>
      <c r="G16" s="9" t="s">
        <v>19</v>
      </c>
      <c r="H16" s="3">
        <v>1011.23595505618</v>
      </c>
      <c r="I16" s="3">
        <v>576000</v>
      </c>
      <c r="J16" s="9">
        <v>254000</v>
      </c>
    </row>
    <row r="17" spans="1:10">
      <c r="A17" s="2">
        <v>45717</v>
      </c>
      <c r="B17" s="3">
        <v>920000</v>
      </c>
      <c r="C17" s="9">
        <v>910</v>
      </c>
      <c r="D17" s="9">
        <v>72000</v>
      </c>
      <c r="E17" s="9" t="s">
        <v>21</v>
      </c>
      <c r="F17" s="3">
        <v>2025</v>
      </c>
      <c r="G17" s="9" t="s">
        <v>19</v>
      </c>
      <c r="H17" s="3">
        <v>1010.989010989011</v>
      </c>
      <c r="I17" s="3">
        <v>588800</v>
      </c>
      <c r="J17" s="9">
        <v>259200</v>
      </c>
    </row>
    <row r="18" spans="1:10">
      <c r="A18" s="2">
        <v>45748</v>
      </c>
      <c r="B18" s="3">
        <v>950000</v>
      </c>
      <c r="C18" s="9">
        <v>940</v>
      </c>
      <c r="D18" s="9">
        <v>75000</v>
      </c>
      <c r="E18" s="9" t="s">
        <v>22</v>
      </c>
      <c r="F18" s="3">
        <v>2025</v>
      </c>
      <c r="G18" s="9" t="s">
        <v>23</v>
      </c>
      <c r="H18" s="3">
        <v>1010.63829787234</v>
      </c>
      <c r="I18" s="3">
        <v>608000</v>
      </c>
      <c r="J18" s="9">
        <v>267000</v>
      </c>
    </row>
    <row r="19" spans="1:10">
      <c r="A19" s="2">
        <v>45778</v>
      </c>
      <c r="B19" s="3">
        <v>980000</v>
      </c>
      <c r="C19" s="9">
        <v>970</v>
      </c>
      <c r="D19" s="9">
        <v>77000</v>
      </c>
      <c r="E19" s="9" t="s">
        <v>24</v>
      </c>
      <c r="F19" s="3">
        <v>2025</v>
      </c>
      <c r="G19" s="9" t="s">
        <v>23</v>
      </c>
      <c r="H19" s="3">
        <v>1010.309278350515</v>
      </c>
      <c r="I19" s="3">
        <v>627200</v>
      </c>
      <c r="J19" s="9">
        <v>275800</v>
      </c>
    </row>
    <row r="20" spans="1:10">
      <c r="A20" s="2">
        <v>45809</v>
      </c>
      <c r="B20" s="3">
        <v>1020000</v>
      </c>
      <c r="C20" s="9">
        <v>1010</v>
      </c>
      <c r="D20" s="9">
        <v>81000</v>
      </c>
      <c r="E20" s="9" t="s">
        <v>25</v>
      </c>
      <c r="F20" s="3">
        <v>2025</v>
      </c>
      <c r="G20" s="9" t="s">
        <v>23</v>
      </c>
      <c r="H20" s="3">
        <v>1009.90099009901</v>
      </c>
      <c r="I20" s="3">
        <v>652800</v>
      </c>
      <c r="J20" s="9">
        <v>286200</v>
      </c>
    </row>
    <row r="21" spans="1:10">
      <c r="A21" s="2">
        <v>45839</v>
      </c>
      <c r="B21" s="3">
        <v>1000000</v>
      </c>
      <c r="C21" s="9">
        <v>990</v>
      </c>
      <c r="D21" s="9">
        <v>79000</v>
      </c>
      <c r="E21" s="9" t="s">
        <v>26</v>
      </c>
      <c r="F21" s="3">
        <v>2025</v>
      </c>
      <c r="G21" s="9" t="s">
        <v>27</v>
      </c>
      <c r="H21" s="3">
        <v>1010.10101010101</v>
      </c>
      <c r="I21" s="3">
        <v>640000</v>
      </c>
      <c r="J21" s="9">
        <v>281000</v>
      </c>
    </row>
    <row r="22" spans="1:10">
      <c r="A22" s="2">
        <v>45870</v>
      </c>
      <c r="B22" s="3">
        <v>1050000</v>
      </c>
      <c r="C22" s="9">
        <v>1040</v>
      </c>
      <c r="D22" s="9">
        <v>83000</v>
      </c>
      <c r="E22" s="9" t="s">
        <v>28</v>
      </c>
      <c r="F22" s="3">
        <v>2025</v>
      </c>
      <c r="G22" s="9" t="s">
        <v>27</v>
      </c>
      <c r="H22" s="3">
        <v>1009.615384615385</v>
      </c>
      <c r="I22" s="3">
        <v>672000</v>
      </c>
      <c r="J22" s="9">
        <v>295000</v>
      </c>
    </row>
    <row r="23" spans="1:10">
      <c r="A23" s="2">
        <v>45901</v>
      </c>
      <c r="B23" s="3">
        <v>1090000</v>
      </c>
      <c r="C23" s="9">
        <v>1080</v>
      </c>
      <c r="D23" s="9">
        <v>86000</v>
      </c>
      <c r="E23" s="9" t="s">
        <v>29</v>
      </c>
      <c r="F23" s="3">
        <v>2025</v>
      </c>
      <c r="G23" s="9" t="s">
        <v>27</v>
      </c>
      <c r="H23" s="3">
        <v>1009.259259259259</v>
      </c>
      <c r="I23" s="3">
        <v>697600</v>
      </c>
      <c r="J23" s="9">
        <v>306400</v>
      </c>
    </row>
    <row r="24" spans="1:10">
      <c r="A24" s="2">
        <v>45931</v>
      </c>
      <c r="B24" s="3">
        <v>1140000</v>
      </c>
      <c r="C24" s="9">
        <v>1120</v>
      </c>
      <c r="D24" s="9">
        <v>89000</v>
      </c>
      <c r="E24" s="9" t="s">
        <v>30</v>
      </c>
      <c r="F24" s="3">
        <v>2025</v>
      </c>
      <c r="G24" s="9" t="s">
        <v>31</v>
      </c>
      <c r="H24" s="3">
        <v>1017.857142857143</v>
      </c>
      <c r="I24" s="3">
        <v>729600</v>
      </c>
      <c r="J24" s="9">
        <v>321400</v>
      </c>
    </row>
    <row r="25" spans="1:10">
      <c r="A25" s="2">
        <v>45962</v>
      </c>
      <c r="B25" s="3">
        <v>1210000</v>
      </c>
      <c r="C25" s="9">
        <v>1190</v>
      </c>
      <c r="D25" s="9">
        <v>95000</v>
      </c>
      <c r="E25" s="9" t="s">
        <v>32</v>
      </c>
      <c r="F25" s="3">
        <v>2025</v>
      </c>
      <c r="G25" s="9" t="s">
        <v>31</v>
      </c>
      <c r="H25" s="3">
        <v>1016.806722689076</v>
      </c>
      <c r="I25" s="3">
        <v>774400</v>
      </c>
      <c r="J25" s="9">
        <v>340600</v>
      </c>
    </row>
    <row r="26" spans="1:10">
      <c r="A26" s="2">
        <v>45992</v>
      </c>
      <c r="B26" s="3">
        <v>1360000</v>
      </c>
      <c r="C26" s="9">
        <v>1330</v>
      </c>
      <c r="D26" s="9">
        <v>110000</v>
      </c>
      <c r="E26" s="9" t="s">
        <v>33</v>
      </c>
      <c r="F26" s="3">
        <v>2025</v>
      </c>
      <c r="G26" s="9" t="s">
        <v>31</v>
      </c>
      <c r="H26" s="3">
        <v>1022.556390977444</v>
      </c>
      <c r="I26" s="3">
        <v>870400</v>
      </c>
      <c r="J26" s="9">
        <v>379600</v>
      </c>
    </row>
    <row r="27" spans="1:10">
      <c r="A27" s="2">
        <v>46023</v>
      </c>
      <c r="B27" s="3">
        <v>930000</v>
      </c>
      <c r="C27" s="9">
        <v>920</v>
      </c>
      <c r="D27" s="9">
        <v>72000</v>
      </c>
      <c r="E27" s="9" t="s">
        <v>18</v>
      </c>
      <c r="F27" s="3">
        <v>2026</v>
      </c>
      <c r="G27" s="9" t="s">
        <v>19</v>
      </c>
      <c r="H27" s="3">
        <v>1010.869565217391</v>
      </c>
      <c r="I27" s="3">
        <v>595200</v>
      </c>
      <c r="J27" s="9">
        <v>262800</v>
      </c>
    </row>
    <row r="28" spans="1:10">
      <c r="A28" s="2">
        <v>46054</v>
      </c>
      <c r="B28" s="3">
        <v>960000</v>
      </c>
      <c r="C28" s="9">
        <v>950</v>
      </c>
      <c r="D28" s="9">
        <v>75000</v>
      </c>
      <c r="E28" s="9" t="s">
        <v>20</v>
      </c>
      <c r="F28" s="3">
        <v>2026</v>
      </c>
      <c r="G28" s="9" t="s">
        <v>19</v>
      </c>
      <c r="H28" s="3">
        <v>1010.526315789474</v>
      </c>
      <c r="I28" s="3">
        <v>614400</v>
      </c>
      <c r="J28" s="9">
        <v>270600</v>
      </c>
    </row>
    <row r="29" spans="1:10">
      <c r="A29" s="2">
        <v>46082</v>
      </c>
      <c r="B29" s="3">
        <v>990000</v>
      </c>
      <c r="C29" s="9">
        <v>980</v>
      </c>
      <c r="D29" s="9">
        <v>77000</v>
      </c>
      <c r="E29" s="9" t="s">
        <v>21</v>
      </c>
      <c r="F29" s="3">
        <v>2026</v>
      </c>
      <c r="G29" s="9" t="s">
        <v>19</v>
      </c>
      <c r="H29" s="3">
        <v>1010.204081632653</v>
      </c>
      <c r="I29" s="3">
        <v>633600</v>
      </c>
      <c r="J29" s="9">
        <v>279400</v>
      </c>
    </row>
    <row r="30" spans="1:10">
      <c r="A30" s="2">
        <v>46113</v>
      </c>
      <c r="B30" s="3">
        <v>1020000</v>
      </c>
      <c r="C30" s="9">
        <v>1010</v>
      </c>
      <c r="D30" s="9">
        <v>80000</v>
      </c>
      <c r="E30" s="9" t="s">
        <v>22</v>
      </c>
      <c r="F30" s="3">
        <v>2026</v>
      </c>
      <c r="G30" s="9" t="s">
        <v>23</v>
      </c>
      <c r="H30" s="3">
        <v>1009.90099009901</v>
      </c>
      <c r="I30" s="3">
        <v>652800</v>
      </c>
      <c r="J30" s="9">
        <v>287200</v>
      </c>
    </row>
    <row r="31" spans="1:10">
      <c r="A31" s="2">
        <v>46143</v>
      </c>
      <c r="B31" s="3">
        <v>1060000</v>
      </c>
      <c r="C31" s="9">
        <v>1050</v>
      </c>
      <c r="D31" s="9">
        <v>83000</v>
      </c>
      <c r="E31" s="9" t="s">
        <v>24</v>
      </c>
      <c r="F31" s="3">
        <v>2026</v>
      </c>
      <c r="G31" s="9" t="s">
        <v>23</v>
      </c>
      <c r="H31" s="3">
        <v>1009.52380952381</v>
      </c>
      <c r="I31" s="3">
        <v>678400</v>
      </c>
      <c r="J31" s="9">
        <v>298600</v>
      </c>
    </row>
    <row r="32" spans="1:10">
      <c r="A32" s="2">
        <v>46174</v>
      </c>
      <c r="B32" s="3">
        <v>1100000</v>
      </c>
      <c r="C32" s="9">
        <v>1090</v>
      </c>
      <c r="D32" s="9">
        <v>87000</v>
      </c>
      <c r="E32" s="9" t="s">
        <v>25</v>
      </c>
      <c r="F32" s="3">
        <v>2026</v>
      </c>
      <c r="G32" s="9" t="s">
        <v>23</v>
      </c>
      <c r="H32" s="3">
        <v>1009.174311926605</v>
      </c>
      <c r="I32" s="3">
        <v>704000</v>
      </c>
      <c r="J32" s="9">
        <v>309000</v>
      </c>
    </row>
  </sheetData>
  <mergeCells count="1">
    <mergeCell ref="A1:J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showGridLines="0" tabSelected="1" workbookViewId="0">
      <pane ySplit="2" topLeftCell="A3" activePane="bottomLeft" state="frozen"/>
      <selection pane="bottomLeft" sqref="A1:F1"/>
    </sheetView>
  </sheetViews>
  <sheetFormatPr defaultRowHeight="15"/>
  <cols>
    <col min="1" max="1" width="22" customWidth="1"/>
    <col min="2" max="2" width="15.7109375" bestFit="1" customWidth="1"/>
    <col min="3" max="3" width="17" bestFit="1" customWidth="1"/>
    <col min="4" max="4" width="15.5703125" bestFit="1" customWidth="1"/>
    <col min="5" max="5" width="12.7109375" bestFit="1" customWidth="1"/>
    <col min="6" max="6" width="18" customWidth="1"/>
  </cols>
  <sheetData>
    <row r="1" spans="1:6" ht="21">
      <c r="A1" s="12" t="s">
        <v>34</v>
      </c>
      <c r="B1" s="11"/>
      <c r="C1" s="11"/>
      <c r="D1" s="11"/>
      <c r="E1" s="11"/>
      <c r="F1" s="11"/>
    </row>
    <row r="2" spans="1:6" ht="30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</row>
    <row r="3" spans="1:6">
      <c r="A3" s="9" t="s">
        <v>41</v>
      </c>
      <c r="B3" s="4">
        <v>0.08</v>
      </c>
      <c r="C3" s="4">
        <v>0</v>
      </c>
      <c r="D3" s="4">
        <v>0.05</v>
      </c>
      <c r="E3" s="4">
        <v>0.64</v>
      </c>
      <c r="F3" s="4">
        <v>0.1</v>
      </c>
    </row>
    <row r="4" spans="1:6">
      <c r="A4" s="9" t="s">
        <v>42</v>
      </c>
      <c r="B4" s="4">
        <v>0.04</v>
      </c>
      <c r="C4" s="4">
        <v>-0.03</v>
      </c>
      <c r="D4" s="4">
        <v>0.03</v>
      </c>
      <c r="E4" s="4">
        <v>0.67</v>
      </c>
      <c r="F4" s="4">
        <v>0.08</v>
      </c>
    </row>
    <row r="5" spans="1:6">
      <c r="A5" s="9" t="s">
        <v>43</v>
      </c>
      <c r="B5" s="4">
        <v>0.15</v>
      </c>
      <c r="C5" s="4">
        <v>0.05</v>
      </c>
      <c r="D5" s="4">
        <v>0.08</v>
      </c>
      <c r="E5" s="4">
        <v>0.62</v>
      </c>
      <c r="F5" s="4">
        <v>0.12</v>
      </c>
    </row>
    <row r="6" spans="1:6">
      <c r="A6" s="9" t="s">
        <v>44</v>
      </c>
      <c r="B6" s="4">
        <v>0.22</v>
      </c>
      <c r="C6" s="4">
        <v>0.1</v>
      </c>
      <c r="D6" s="4">
        <v>0.12</v>
      </c>
      <c r="E6" s="4">
        <v>0.59</v>
      </c>
      <c r="F6" s="4">
        <v>0.15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showGridLines="0" workbookViewId="0">
      <selection activeCell="G7" sqref="G7"/>
    </sheetView>
  </sheetViews>
  <sheetFormatPr defaultRowHeight="15"/>
  <cols>
    <col min="1" max="1" width="30" customWidth="1"/>
    <col min="2" max="2" width="20" customWidth="1"/>
    <col min="3" max="3" width="40" customWidth="1"/>
  </cols>
  <sheetData>
    <row r="1" spans="1:7" ht="21">
      <c r="A1" s="12" t="s">
        <v>45</v>
      </c>
      <c r="B1" s="11"/>
      <c r="C1" s="11"/>
      <c r="D1" s="9"/>
      <c r="E1" s="9"/>
      <c r="F1" s="9"/>
      <c r="G1" s="9"/>
    </row>
    <row r="2" spans="1:7">
      <c r="A2" s="5" t="s">
        <v>46</v>
      </c>
      <c r="B2" s="6">
        <v>1100000</v>
      </c>
      <c r="C2" s="5" t="s">
        <v>47</v>
      </c>
      <c r="D2" s="9"/>
      <c r="E2" s="9"/>
      <c r="F2" s="9"/>
      <c r="G2" s="9"/>
    </row>
    <row r="3" spans="1:7">
      <c r="A3" s="9" t="s">
        <v>48</v>
      </c>
      <c r="B3" s="9">
        <v>1090</v>
      </c>
      <c r="C3" s="9" t="s">
        <v>47</v>
      </c>
      <c r="D3" s="9"/>
      <c r="E3" s="9"/>
      <c r="F3" s="9"/>
      <c r="G3" s="9"/>
    </row>
    <row r="4" spans="1:7">
      <c r="A4" s="9" t="s">
        <v>49</v>
      </c>
      <c r="B4" s="3">
        <v>1009.174311926605</v>
      </c>
      <c r="C4" s="9" t="s">
        <v>47</v>
      </c>
      <c r="D4" s="9"/>
      <c r="E4" s="9"/>
      <c r="F4" s="9"/>
      <c r="G4" s="9"/>
    </row>
    <row r="5" spans="1:7">
      <c r="A5" s="9" t="s">
        <v>50</v>
      </c>
      <c r="B5" s="3">
        <v>87000</v>
      </c>
      <c r="C5" s="9" t="s">
        <v>47</v>
      </c>
      <c r="D5" s="9"/>
      <c r="E5" s="9"/>
      <c r="F5" s="9"/>
      <c r="G5" s="9"/>
    </row>
    <row r="7" spans="1:7">
      <c r="A7" s="7" t="s">
        <v>51</v>
      </c>
      <c r="B7" s="7"/>
      <c r="C7" s="7"/>
      <c r="D7" s="9"/>
      <c r="E7" s="9"/>
      <c r="F7" s="9"/>
      <c r="G7" s="9" t="s">
        <v>52</v>
      </c>
    </row>
    <row r="8" spans="1:7">
      <c r="A8" s="9" t="s">
        <v>53</v>
      </c>
      <c r="B8" s="4">
        <v>0.08</v>
      </c>
      <c r="C8" s="9" t="s">
        <v>54</v>
      </c>
      <c r="D8" s="9"/>
      <c r="E8" s="9"/>
      <c r="F8" s="9"/>
      <c r="G8" s="9"/>
    </row>
    <row r="9" spans="1:7">
      <c r="A9" s="9" t="s">
        <v>55</v>
      </c>
      <c r="B9" s="4">
        <v>0</v>
      </c>
      <c r="C9" s="9" t="s">
        <v>54</v>
      </c>
      <c r="D9" s="9"/>
      <c r="E9" s="9"/>
      <c r="F9" s="9"/>
      <c r="G9" s="9"/>
    </row>
    <row r="10" spans="1:7">
      <c r="A10" s="9" t="s">
        <v>56</v>
      </c>
      <c r="B10" s="4">
        <v>0.05</v>
      </c>
      <c r="C10" s="9" t="s">
        <v>54</v>
      </c>
      <c r="D10" s="9"/>
      <c r="E10" s="9"/>
      <c r="F10" s="9"/>
      <c r="G10" s="9"/>
    </row>
    <row r="11" spans="1:7">
      <c r="A11" s="9" t="s">
        <v>57</v>
      </c>
      <c r="B11" s="4">
        <v>0.64</v>
      </c>
      <c r="C11" s="9" t="s">
        <v>54</v>
      </c>
      <c r="D11" s="9"/>
      <c r="E11" s="9"/>
      <c r="F11" s="9"/>
      <c r="G11" s="9"/>
    </row>
    <row r="12" spans="1:7">
      <c r="A12" s="9" t="s">
        <v>58</v>
      </c>
      <c r="B12" s="4">
        <v>0.1</v>
      </c>
      <c r="C12" s="9" t="s">
        <v>54</v>
      </c>
      <c r="D12" s="9"/>
      <c r="E12" s="9"/>
      <c r="F12" s="9"/>
      <c r="G12" s="9"/>
    </row>
    <row r="13" spans="1:7">
      <c r="A13" s="7"/>
      <c r="B13" s="7"/>
      <c r="C13" s="7"/>
      <c r="D13" s="9"/>
      <c r="E13" s="9"/>
      <c r="F13" s="9"/>
      <c r="G13" s="9"/>
    </row>
    <row r="14" spans="1:7">
      <c r="A14" s="9" t="s">
        <v>59</v>
      </c>
      <c r="B14" s="9">
        <f>B3*(1+B9)</f>
        <v>1090</v>
      </c>
      <c r="C14" s="9"/>
      <c r="D14" s="9"/>
      <c r="E14" s="9"/>
      <c r="F14" s="9"/>
      <c r="G14" s="9"/>
    </row>
    <row r="15" spans="1:7">
      <c r="A15" s="9" t="s">
        <v>60</v>
      </c>
      <c r="B15" s="3">
        <f>B4*(1+B10)</f>
        <v>1059.6330275229352</v>
      </c>
      <c r="C15" s="9"/>
      <c r="D15" s="9"/>
      <c r="E15" s="9"/>
      <c r="F15" s="9"/>
      <c r="G15" s="9"/>
    </row>
    <row r="16" spans="1:7">
      <c r="A16" s="9" t="s">
        <v>61</v>
      </c>
      <c r="B16" s="3">
        <f>B14*B15</f>
        <v>1154999.9999999993</v>
      </c>
      <c r="C16" s="9"/>
      <c r="D16" s="9"/>
      <c r="E16" s="9"/>
      <c r="F16" s="9"/>
      <c r="G16" s="9"/>
    </row>
    <row r="17" spans="1:2">
      <c r="A17" s="9" t="s">
        <v>62</v>
      </c>
      <c r="B17" s="3">
        <f>B16*B11</f>
        <v>739199.99999999953</v>
      </c>
    </row>
    <row r="18" spans="1:2">
      <c r="A18" s="9" t="s">
        <v>63</v>
      </c>
      <c r="B18" s="3">
        <f>B5*(1+B12)</f>
        <v>95700.000000000015</v>
      </c>
    </row>
    <row r="19" spans="1:2">
      <c r="A19" s="9" t="s">
        <v>64</v>
      </c>
      <c r="B19" s="3">
        <f>B16-B17-B18</f>
        <v>320099.99999999977</v>
      </c>
    </row>
    <row r="20" spans="1:2">
      <c r="A20" s="9" t="s">
        <v>65</v>
      </c>
      <c r="B20" s="4">
        <f>B19/B16</f>
        <v>0.27714285714285714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8"/>
  <sheetViews>
    <sheetView showGridLines="0" workbookViewId="0">
      <selection sqref="A1:F1"/>
    </sheetView>
  </sheetViews>
  <sheetFormatPr defaultRowHeight="15"/>
  <cols>
    <col min="1" max="1" width="15" customWidth="1"/>
    <col min="2" max="2" width="18" customWidth="1"/>
    <col min="3" max="3" width="12" customWidth="1"/>
    <col min="4" max="6" width="18" customWidth="1"/>
  </cols>
  <sheetData>
    <row r="1" spans="1:6" ht="21">
      <c r="A1" s="12" t="s">
        <v>66</v>
      </c>
      <c r="B1" s="11"/>
      <c r="C1" s="11"/>
      <c r="D1" s="11"/>
      <c r="E1" s="11"/>
      <c r="F1" s="11"/>
    </row>
    <row r="2" spans="1:6">
      <c r="A2" s="5" t="s">
        <v>8</v>
      </c>
      <c r="B2" s="5" t="s">
        <v>67</v>
      </c>
      <c r="C2" s="5" t="s">
        <v>68</v>
      </c>
      <c r="D2" s="5" t="s">
        <v>69</v>
      </c>
      <c r="E2" s="5" t="s">
        <v>70</v>
      </c>
      <c r="F2" s="5" t="s">
        <v>71</v>
      </c>
    </row>
    <row r="3" spans="1:6">
      <c r="A3" s="2">
        <v>45292</v>
      </c>
      <c r="B3" s="8">
        <v>820000</v>
      </c>
      <c r="C3" s="9">
        <v>1</v>
      </c>
      <c r="D3" s="8" t="e">
        <f t="shared" ref="D3:D38" ca="1" si="0">_xludf.FORECAST.LINEAR(C3,$B$3:$B$32,$C$3:$C$32)</f>
        <v>#NAME?</v>
      </c>
      <c r="E3" s="8" t="e">
        <f t="shared" ref="E3:E32" ca="1" si="1">B3-D3</f>
        <v>#NAME?</v>
      </c>
      <c r="F3" s="4" t="str">
        <f t="shared" ref="F3:F32" ca="1" si="2">IFERROR(ABS(E3/B3),"")</f>
        <v/>
      </c>
    </row>
    <row r="4" spans="1:6">
      <c r="A4" s="2">
        <v>45323</v>
      </c>
      <c r="B4" s="8">
        <v>850000</v>
      </c>
      <c r="C4" s="9">
        <v>2</v>
      </c>
      <c r="D4" s="8" t="e">
        <f t="shared" ca="1" si="0"/>
        <v>#NAME?</v>
      </c>
      <c r="E4" s="8" t="e">
        <f t="shared" ca="1" si="1"/>
        <v>#NAME?</v>
      </c>
      <c r="F4" s="4" t="str">
        <f t="shared" ca="1" si="2"/>
        <v/>
      </c>
    </row>
    <row r="5" spans="1:6">
      <c r="A5" s="2">
        <v>45352</v>
      </c>
      <c r="B5" s="8">
        <v>880000</v>
      </c>
      <c r="C5" s="9">
        <v>3</v>
      </c>
      <c r="D5" s="8" t="e">
        <f t="shared" ca="1" si="0"/>
        <v>#NAME?</v>
      </c>
      <c r="E5" s="8" t="e">
        <f t="shared" ca="1" si="1"/>
        <v>#NAME?</v>
      </c>
      <c r="F5" s="4" t="str">
        <f t="shared" ca="1" si="2"/>
        <v/>
      </c>
    </row>
    <row r="6" spans="1:6">
      <c r="A6" s="2">
        <v>45383</v>
      </c>
      <c r="B6" s="8">
        <v>900000</v>
      </c>
      <c r="C6" s="9">
        <v>4</v>
      </c>
      <c r="D6" s="8" t="e">
        <f t="shared" ca="1" si="0"/>
        <v>#NAME?</v>
      </c>
      <c r="E6" s="8" t="e">
        <f t="shared" ca="1" si="1"/>
        <v>#NAME?</v>
      </c>
      <c r="F6" s="4" t="str">
        <f t="shared" ca="1" si="2"/>
        <v/>
      </c>
    </row>
    <row r="7" spans="1:6">
      <c r="A7" s="2">
        <v>45413</v>
      </c>
      <c r="B7" s="8">
        <v>930000</v>
      </c>
      <c r="C7" s="9">
        <v>5</v>
      </c>
      <c r="D7" s="8" t="e">
        <f t="shared" ca="1" si="0"/>
        <v>#NAME?</v>
      </c>
      <c r="E7" s="8" t="e">
        <f t="shared" ca="1" si="1"/>
        <v>#NAME?</v>
      </c>
      <c r="F7" s="4" t="str">
        <f t="shared" ca="1" si="2"/>
        <v/>
      </c>
    </row>
    <row r="8" spans="1:6">
      <c r="A8" s="2">
        <v>45444</v>
      </c>
      <c r="B8" s="8">
        <v>970000</v>
      </c>
      <c r="C8" s="9">
        <v>6</v>
      </c>
      <c r="D8" s="8" t="e">
        <f t="shared" ca="1" si="0"/>
        <v>#NAME?</v>
      </c>
      <c r="E8" s="8" t="e">
        <f t="shared" ca="1" si="1"/>
        <v>#NAME?</v>
      </c>
      <c r="F8" s="4" t="str">
        <f t="shared" ca="1" si="2"/>
        <v/>
      </c>
    </row>
    <row r="9" spans="1:6">
      <c r="A9" s="2">
        <v>45474</v>
      </c>
      <c r="B9" s="8">
        <v>950000</v>
      </c>
      <c r="C9" s="9">
        <v>7</v>
      </c>
      <c r="D9" s="8" t="e">
        <f t="shared" ca="1" si="0"/>
        <v>#NAME?</v>
      </c>
      <c r="E9" s="8" t="e">
        <f t="shared" ca="1" si="1"/>
        <v>#NAME?</v>
      </c>
      <c r="F9" s="4" t="str">
        <f t="shared" ca="1" si="2"/>
        <v/>
      </c>
    </row>
    <row r="10" spans="1:6">
      <c r="A10" s="2">
        <v>45505</v>
      </c>
      <c r="B10" s="8">
        <v>990000</v>
      </c>
      <c r="C10" s="9">
        <v>8</v>
      </c>
      <c r="D10" s="8" t="e">
        <f t="shared" ca="1" si="0"/>
        <v>#NAME?</v>
      </c>
      <c r="E10" s="8" t="e">
        <f t="shared" ca="1" si="1"/>
        <v>#NAME?</v>
      </c>
      <c r="F10" s="4" t="str">
        <f t="shared" ca="1" si="2"/>
        <v/>
      </c>
    </row>
    <row r="11" spans="1:6">
      <c r="A11" s="2">
        <v>45536</v>
      </c>
      <c r="B11" s="8">
        <v>1030000</v>
      </c>
      <c r="C11" s="9">
        <v>9</v>
      </c>
      <c r="D11" s="8" t="e">
        <f t="shared" ca="1" si="0"/>
        <v>#NAME?</v>
      </c>
      <c r="E11" s="8" t="e">
        <f t="shared" ca="1" si="1"/>
        <v>#NAME?</v>
      </c>
      <c r="F11" s="4" t="str">
        <f t="shared" ca="1" si="2"/>
        <v/>
      </c>
    </row>
    <row r="12" spans="1:6">
      <c r="A12" s="2">
        <v>45566</v>
      </c>
      <c r="B12" s="8">
        <v>1080000</v>
      </c>
      <c r="C12" s="9">
        <v>10</v>
      </c>
      <c r="D12" s="8" t="e">
        <f t="shared" ca="1" si="0"/>
        <v>#NAME?</v>
      </c>
      <c r="E12" s="8" t="e">
        <f t="shared" ca="1" si="1"/>
        <v>#NAME?</v>
      </c>
      <c r="F12" s="4" t="str">
        <f t="shared" ca="1" si="2"/>
        <v/>
      </c>
    </row>
    <row r="13" spans="1:6">
      <c r="A13" s="2">
        <v>45597</v>
      </c>
      <c r="B13" s="8">
        <v>1140000</v>
      </c>
      <c r="C13" s="9">
        <v>11</v>
      </c>
      <c r="D13" s="8" t="e">
        <f t="shared" ca="1" si="0"/>
        <v>#NAME?</v>
      </c>
      <c r="E13" s="8" t="e">
        <f t="shared" ca="1" si="1"/>
        <v>#NAME?</v>
      </c>
      <c r="F13" s="4" t="str">
        <f t="shared" ca="1" si="2"/>
        <v/>
      </c>
    </row>
    <row r="14" spans="1:6">
      <c r="A14" s="2">
        <v>45627</v>
      </c>
      <c r="B14" s="8">
        <v>1280000</v>
      </c>
      <c r="C14" s="9">
        <v>12</v>
      </c>
      <c r="D14" s="8" t="e">
        <f t="shared" ca="1" si="0"/>
        <v>#NAME?</v>
      </c>
      <c r="E14" s="8" t="e">
        <f t="shared" ca="1" si="1"/>
        <v>#NAME?</v>
      </c>
      <c r="F14" s="4" t="str">
        <f t="shared" ca="1" si="2"/>
        <v/>
      </c>
    </row>
    <row r="15" spans="1:6">
      <c r="A15" s="2">
        <v>45658</v>
      </c>
      <c r="B15" s="8">
        <v>870000</v>
      </c>
      <c r="C15" s="9">
        <v>13</v>
      </c>
      <c r="D15" s="8" t="e">
        <f t="shared" ca="1" si="0"/>
        <v>#NAME?</v>
      </c>
      <c r="E15" s="8" t="e">
        <f t="shared" ca="1" si="1"/>
        <v>#NAME?</v>
      </c>
      <c r="F15" s="4" t="str">
        <f t="shared" ca="1" si="2"/>
        <v/>
      </c>
    </row>
    <row r="16" spans="1:6">
      <c r="A16" s="2">
        <v>45689</v>
      </c>
      <c r="B16" s="8">
        <v>900000</v>
      </c>
      <c r="C16" s="9">
        <v>14</v>
      </c>
      <c r="D16" s="8" t="e">
        <f t="shared" ca="1" si="0"/>
        <v>#NAME?</v>
      </c>
      <c r="E16" s="8" t="e">
        <f t="shared" ca="1" si="1"/>
        <v>#NAME?</v>
      </c>
      <c r="F16" s="4" t="str">
        <f t="shared" ca="1" si="2"/>
        <v/>
      </c>
    </row>
    <row r="17" spans="1:6">
      <c r="A17" s="2">
        <v>45717</v>
      </c>
      <c r="B17" s="8">
        <v>920000</v>
      </c>
      <c r="C17" s="9">
        <v>15</v>
      </c>
      <c r="D17" s="8" t="e">
        <f t="shared" ca="1" si="0"/>
        <v>#NAME?</v>
      </c>
      <c r="E17" s="8" t="e">
        <f t="shared" ca="1" si="1"/>
        <v>#NAME?</v>
      </c>
      <c r="F17" s="4" t="str">
        <f t="shared" ca="1" si="2"/>
        <v/>
      </c>
    </row>
    <row r="18" spans="1:6">
      <c r="A18" s="2">
        <v>45748</v>
      </c>
      <c r="B18" s="8">
        <v>950000</v>
      </c>
      <c r="C18" s="9">
        <v>16</v>
      </c>
      <c r="D18" s="8" t="e">
        <f t="shared" ca="1" si="0"/>
        <v>#NAME?</v>
      </c>
      <c r="E18" s="8" t="e">
        <f t="shared" ca="1" si="1"/>
        <v>#NAME?</v>
      </c>
      <c r="F18" s="4" t="str">
        <f t="shared" ca="1" si="2"/>
        <v/>
      </c>
    </row>
    <row r="19" spans="1:6">
      <c r="A19" s="2">
        <v>45778</v>
      </c>
      <c r="B19" s="8">
        <v>980000</v>
      </c>
      <c r="C19" s="9">
        <v>17</v>
      </c>
      <c r="D19" s="8" t="e">
        <f t="shared" ca="1" si="0"/>
        <v>#NAME?</v>
      </c>
      <c r="E19" s="8" t="e">
        <f t="shared" ca="1" si="1"/>
        <v>#NAME?</v>
      </c>
      <c r="F19" s="4" t="str">
        <f t="shared" ca="1" si="2"/>
        <v/>
      </c>
    </row>
    <row r="20" spans="1:6">
      <c r="A20" s="2">
        <v>45809</v>
      </c>
      <c r="B20" s="8">
        <v>1020000</v>
      </c>
      <c r="C20" s="9">
        <v>18</v>
      </c>
      <c r="D20" s="8" t="e">
        <f t="shared" ca="1" si="0"/>
        <v>#NAME?</v>
      </c>
      <c r="E20" s="8" t="e">
        <f t="shared" ca="1" si="1"/>
        <v>#NAME?</v>
      </c>
      <c r="F20" s="4" t="str">
        <f t="shared" ca="1" si="2"/>
        <v/>
      </c>
    </row>
    <row r="21" spans="1:6">
      <c r="A21" s="2">
        <v>45839</v>
      </c>
      <c r="B21" s="8">
        <v>1000000</v>
      </c>
      <c r="C21" s="9">
        <v>19</v>
      </c>
      <c r="D21" s="8" t="e">
        <f t="shared" ca="1" si="0"/>
        <v>#NAME?</v>
      </c>
      <c r="E21" s="8" t="e">
        <f t="shared" ca="1" si="1"/>
        <v>#NAME?</v>
      </c>
      <c r="F21" s="4" t="str">
        <f t="shared" ca="1" si="2"/>
        <v/>
      </c>
    </row>
    <row r="22" spans="1:6">
      <c r="A22" s="2">
        <v>45870</v>
      </c>
      <c r="B22" s="8">
        <v>1050000</v>
      </c>
      <c r="C22" s="9">
        <v>20</v>
      </c>
      <c r="D22" s="8" t="e">
        <f t="shared" ca="1" si="0"/>
        <v>#NAME?</v>
      </c>
      <c r="E22" s="8" t="e">
        <f t="shared" ca="1" si="1"/>
        <v>#NAME?</v>
      </c>
      <c r="F22" s="4" t="str">
        <f t="shared" ca="1" si="2"/>
        <v/>
      </c>
    </row>
    <row r="23" spans="1:6">
      <c r="A23" s="2">
        <v>45901</v>
      </c>
      <c r="B23" s="8">
        <v>1090000</v>
      </c>
      <c r="C23" s="9">
        <v>21</v>
      </c>
      <c r="D23" s="8" t="e">
        <f t="shared" ca="1" si="0"/>
        <v>#NAME?</v>
      </c>
      <c r="E23" s="8" t="e">
        <f t="shared" ca="1" si="1"/>
        <v>#NAME?</v>
      </c>
      <c r="F23" s="4" t="str">
        <f t="shared" ca="1" si="2"/>
        <v/>
      </c>
    </row>
    <row r="24" spans="1:6">
      <c r="A24" s="2">
        <v>45931</v>
      </c>
      <c r="B24" s="8">
        <v>1140000</v>
      </c>
      <c r="C24" s="9">
        <v>22</v>
      </c>
      <c r="D24" s="8" t="e">
        <f t="shared" ca="1" si="0"/>
        <v>#NAME?</v>
      </c>
      <c r="E24" s="8" t="e">
        <f t="shared" ca="1" si="1"/>
        <v>#NAME?</v>
      </c>
      <c r="F24" s="4" t="str">
        <f t="shared" ca="1" si="2"/>
        <v/>
      </c>
    </row>
    <row r="25" spans="1:6">
      <c r="A25" s="2">
        <v>45962</v>
      </c>
      <c r="B25" s="8">
        <v>1210000</v>
      </c>
      <c r="C25" s="9">
        <v>23</v>
      </c>
      <c r="D25" s="8" t="e">
        <f t="shared" ca="1" si="0"/>
        <v>#NAME?</v>
      </c>
      <c r="E25" s="8" t="e">
        <f t="shared" ca="1" si="1"/>
        <v>#NAME?</v>
      </c>
      <c r="F25" s="4" t="str">
        <f t="shared" ca="1" si="2"/>
        <v/>
      </c>
    </row>
    <row r="26" spans="1:6">
      <c r="A26" s="2">
        <v>45992</v>
      </c>
      <c r="B26" s="8">
        <v>1360000</v>
      </c>
      <c r="C26" s="9">
        <v>24</v>
      </c>
      <c r="D26" s="8" t="e">
        <f t="shared" ca="1" si="0"/>
        <v>#NAME?</v>
      </c>
      <c r="E26" s="8" t="e">
        <f t="shared" ca="1" si="1"/>
        <v>#NAME?</v>
      </c>
      <c r="F26" s="4" t="str">
        <f t="shared" ca="1" si="2"/>
        <v/>
      </c>
    </row>
    <row r="27" spans="1:6">
      <c r="A27" s="2">
        <v>46023</v>
      </c>
      <c r="B27" s="8">
        <v>930000</v>
      </c>
      <c r="C27" s="9">
        <v>25</v>
      </c>
      <c r="D27" s="8" t="e">
        <f t="shared" ca="1" si="0"/>
        <v>#NAME?</v>
      </c>
      <c r="E27" s="8" t="e">
        <f t="shared" ca="1" si="1"/>
        <v>#NAME?</v>
      </c>
      <c r="F27" s="4" t="str">
        <f t="shared" ca="1" si="2"/>
        <v/>
      </c>
    </row>
    <row r="28" spans="1:6">
      <c r="A28" s="2">
        <v>46054</v>
      </c>
      <c r="B28" s="8">
        <v>960000</v>
      </c>
      <c r="C28" s="9">
        <v>26</v>
      </c>
      <c r="D28" s="8" t="e">
        <f t="shared" ca="1" si="0"/>
        <v>#NAME?</v>
      </c>
      <c r="E28" s="8" t="e">
        <f t="shared" ca="1" si="1"/>
        <v>#NAME?</v>
      </c>
      <c r="F28" s="4" t="str">
        <f t="shared" ca="1" si="2"/>
        <v/>
      </c>
    </row>
    <row r="29" spans="1:6">
      <c r="A29" s="2">
        <v>46082</v>
      </c>
      <c r="B29" s="8">
        <v>990000</v>
      </c>
      <c r="C29" s="9">
        <v>27</v>
      </c>
      <c r="D29" s="8" t="e">
        <f t="shared" ca="1" si="0"/>
        <v>#NAME?</v>
      </c>
      <c r="E29" s="8" t="e">
        <f t="shared" ca="1" si="1"/>
        <v>#NAME?</v>
      </c>
      <c r="F29" s="4" t="str">
        <f t="shared" ca="1" si="2"/>
        <v/>
      </c>
    </row>
    <row r="30" spans="1:6">
      <c r="A30" s="2">
        <v>46113</v>
      </c>
      <c r="B30" s="8">
        <v>1020000</v>
      </c>
      <c r="C30" s="9">
        <v>28</v>
      </c>
      <c r="D30" s="8" t="e">
        <f t="shared" ca="1" si="0"/>
        <v>#NAME?</v>
      </c>
      <c r="E30" s="8" t="e">
        <f t="shared" ca="1" si="1"/>
        <v>#NAME?</v>
      </c>
      <c r="F30" s="4" t="str">
        <f t="shared" ca="1" si="2"/>
        <v/>
      </c>
    </row>
    <row r="31" spans="1:6">
      <c r="A31" s="2">
        <v>46143</v>
      </c>
      <c r="B31" s="8">
        <v>1060000</v>
      </c>
      <c r="C31" s="9">
        <v>29</v>
      </c>
      <c r="D31" s="8" t="e">
        <f t="shared" ca="1" si="0"/>
        <v>#NAME?</v>
      </c>
      <c r="E31" s="8" t="e">
        <f t="shared" ca="1" si="1"/>
        <v>#NAME?</v>
      </c>
      <c r="F31" s="4" t="str">
        <f t="shared" ca="1" si="2"/>
        <v/>
      </c>
    </row>
    <row r="32" spans="1:6">
      <c r="A32" s="2">
        <v>46174</v>
      </c>
      <c r="B32" s="8">
        <v>1100000</v>
      </c>
      <c r="C32" s="9">
        <v>30</v>
      </c>
      <c r="D32" s="8" t="e">
        <f t="shared" ca="1" si="0"/>
        <v>#NAME?</v>
      </c>
      <c r="E32" s="8" t="e">
        <f t="shared" ca="1" si="1"/>
        <v>#NAME?</v>
      </c>
      <c r="F32" s="4" t="str">
        <f t="shared" ca="1" si="2"/>
        <v/>
      </c>
    </row>
    <row r="33" spans="1:4">
      <c r="A33" s="2">
        <f t="shared" ref="A33:A38" si="3">EDATE(A32,1)</f>
        <v>46204</v>
      </c>
      <c r="B33" s="9"/>
      <c r="C33" s="9">
        <v>31</v>
      </c>
      <c r="D33" s="8" t="e">
        <f t="shared" ca="1" si="0"/>
        <v>#NAME?</v>
      </c>
    </row>
    <row r="34" spans="1:4">
      <c r="A34" s="2">
        <f t="shared" si="3"/>
        <v>46235</v>
      </c>
      <c r="B34" s="9"/>
      <c r="C34" s="9">
        <v>32</v>
      </c>
      <c r="D34" s="8" t="e">
        <f t="shared" ca="1" si="0"/>
        <v>#NAME?</v>
      </c>
    </row>
    <row r="35" spans="1:4">
      <c r="A35" s="2">
        <f t="shared" si="3"/>
        <v>46266</v>
      </c>
      <c r="B35" s="9"/>
      <c r="C35" s="9">
        <v>33</v>
      </c>
      <c r="D35" s="8" t="e">
        <f t="shared" ca="1" si="0"/>
        <v>#NAME?</v>
      </c>
    </row>
    <row r="36" spans="1:4">
      <c r="A36" s="2">
        <f t="shared" si="3"/>
        <v>46296</v>
      </c>
      <c r="B36" s="9"/>
      <c r="C36" s="9">
        <v>34</v>
      </c>
      <c r="D36" s="8" t="e">
        <f t="shared" ca="1" si="0"/>
        <v>#NAME?</v>
      </c>
    </row>
    <row r="37" spans="1:4">
      <c r="A37" s="2">
        <f t="shared" si="3"/>
        <v>46327</v>
      </c>
      <c r="B37" s="9"/>
      <c r="C37" s="9">
        <v>35</v>
      </c>
      <c r="D37" s="8" t="e">
        <f t="shared" ca="1" si="0"/>
        <v>#NAME?</v>
      </c>
    </row>
    <row r="38" spans="1:4">
      <c r="A38" s="2">
        <f t="shared" si="3"/>
        <v>46357</v>
      </c>
      <c r="B38" s="9"/>
      <c r="C38" s="9">
        <v>36</v>
      </c>
      <c r="D38" s="8" t="e">
        <f t="shared" ca="1" si="0"/>
        <v>#NAME?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showGridLines="0" workbookViewId="0"/>
  </sheetViews>
  <sheetFormatPr defaultRowHeight="15"/>
  <cols>
    <col min="1" max="1" width="35" customWidth="1"/>
    <col min="2" max="6" width="20" customWidth="1"/>
  </cols>
  <sheetData>
    <row r="1" spans="1:6" ht="21">
      <c r="A1" s="12" t="s">
        <v>72</v>
      </c>
      <c r="B1" s="11"/>
      <c r="C1" s="11"/>
      <c r="D1" s="11"/>
      <c r="E1" s="11"/>
      <c r="F1" s="11"/>
    </row>
    <row r="2" spans="1:6">
      <c r="A2" s="9" t="s">
        <v>73</v>
      </c>
      <c r="B2" s="9"/>
      <c r="C2" s="9"/>
      <c r="D2" s="9"/>
      <c r="E2" s="9"/>
      <c r="F2" s="9"/>
    </row>
    <row r="3" spans="1:6">
      <c r="A3" s="5" t="s">
        <v>35</v>
      </c>
      <c r="B3" s="5" t="s">
        <v>53</v>
      </c>
      <c r="C3" s="5" t="s">
        <v>55</v>
      </c>
      <c r="D3" s="5" t="s">
        <v>56</v>
      </c>
      <c r="E3" s="5" t="s">
        <v>57</v>
      </c>
      <c r="F3" s="5" t="s">
        <v>58</v>
      </c>
    </row>
    <row r="4" spans="1:6">
      <c r="A4" s="9" t="s">
        <v>41</v>
      </c>
      <c r="B4" s="4">
        <v>0.08</v>
      </c>
      <c r="C4" s="4">
        <v>0</v>
      </c>
      <c r="D4" s="4">
        <v>0.05</v>
      </c>
      <c r="E4" s="4">
        <v>0.64</v>
      </c>
      <c r="F4" s="4">
        <v>0.1</v>
      </c>
    </row>
    <row r="5" spans="1:6">
      <c r="A5" s="9" t="s">
        <v>42</v>
      </c>
      <c r="B5" s="4">
        <v>0.04</v>
      </c>
      <c r="C5" s="4">
        <v>-0.03</v>
      </c>
      <c r="D5" s="4">
        <v>0.03</v>
      </c>
      <c r="E5" s="4">
        <v>0.67</v>
      </c>
      <c r="F5" s="4">
        <v>0.08</v>
      </c>
    </row>
    <row r="6" spans="1:6">
      <c r="A6" s="9" t="s">
        <v>43</v>
      </c>
      <c r="B6" s="4">
        <v>0.15</v>
      </c>
      <c r="C6" s="4">
        <v>0.05</v>
      </c>
      <c r="D6" s="4">
        <v>0.08</v>
      </c>
      <c r="E6" s="4">
        <v>0.62</v>
      </c>
      <c r="F6" s="4">
        <v>0.12</v>
      </c>
    </row>
    <row r="7" spans="1:6">
      <c r="A7" s="9" t="s">
        <v>44</v>
      </c>
      <c r="B7" s="4">
        <v>0.22</v>
      </c>
      <c r="C7" s="4">
        <v>0.1</v>
      </c>
      <c r="D7" s="4">
        <v>0.12</v>
      </c>
      <c r="E7" s="4">
        <v>0.59</v>
      </c>
      <c r="F7" s="4">
        <v>0.15</v>
      </c>
    </row>
    <row r="9" spans="1:6">
      <c r="A9" s="9" t="s">
        <v>74</v>
      </c>
      <c r="B9" s="9"/>
      <c r="C9" s="9"/>
      <c r="D9" s="9"/>
      <c r="E9" s="9"/>
      <c r="F9" s="9"/>
    </row>
    <row r="10" spans="1:6">
      <c r="A10" s="9" t="s">
        <v>75</v>
      </c>
      <c r="B10" s="9"/>
      <c r="C10" s="9"/>
      <c r="D10" s="9"/>
      <c r="E10" s="9"/>
      <c r="F10" s="9"/>
    </row>
    <row r="11" spans="1:6">
      <c r="A11" s="9" t="s">
        <v>76</v>
      </c>
      <c r="B11" s="9"/>
      <c r="C11" s="9"/>
      <c r="D11" s="9"/>
      <c r="E11" s="9"/>
      <c r="F11" s="9"/>
    </row>
    <row r="12" spans="1:6">
      <c r="A12" s="9" t="s">
        <v>77</v>
      </c>
      <c r="B12" s="9"/>
      <c r="C12" s="9"/>
      <c r="D12" s="9"/>
      <c r="E12" s="9"/>
      <c r="F12" s="9"/>
    </row>
    <row r="13" spans="1:6">
      <c r="A13" s="9" t="s">
        <v>78</v>
      </c>
      <c r="B13" s="9"/>
      <c r="C13" s="9"/>
      <c r="D13" s="9"/>
      <c r="E13" s="9"/>
      <c r="F13" s="9"/>
    </row>
    <row r="14" spans="1:6">
      <c r="A14" s="9" t="s">
        <v>79</v>
      </c>
      <c r="B14" s="9"/>
      <c r="C14" s="9"/>
      <c r="D14" s="9"/>
      <c r="E14" s="9"/>
      <c r="F14" s="9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4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0" customWidth="1"/>
    <col min="2" max="2" width="12" customWidth="1"/>
    <col min="3" max="4" width="40" customWidth="1"/>
  </cols>
  <sheetData>
    <row r="1" spans="1:4" ht="21">
      <c r="A1" s="12" t="s">
        <v>80</v>
      </c>
      <c r="B1" s="11"/>
      <c r="C1" s="11"/>
      <c r="D1" s="11"/>
    </row>
    <row r="2" spans="1:4">
      <c r="A2" s="1" t="s">
        <v>81</v>
      </c>
      <c r="B2" s="1" t="s">
        <v>82</v>
      </c>
      <c r="C2" s="1" t="s">
        <v>83</v>
      </c>
      <c r="D2" s="1" t="s">
        <v>84</v>
      </c>
    </row>
    <row r="3" spans="1:4">
      <c r="A3" s="9" t="s">
        <v>85</v>
      </c>
      <c r="B3" s="9">
        <v>1</v>
      </c>
      <c r="C3" s="9" t="s">
        <v>86</v>
      </c>
      <c r="D3" s="9" t="s">
        <v>87</v>
      </c>
    </row>
    <row r="4" spans="1:4">
      <c r="A4" s="9" t="s">
        <v>85</v>
      </c>
      <c r="B4" s="9">
        <v>2</v>
      </c>
      <c r="C4" s="9" t="s">
        <v>88</v>
      </c>
      <c r="D4" s="9" t="s">
        <v>59</v>
      </c>
    </row>
    <row r="5" spans="1:4">
      <c r="A5" s="9" t="s">
        <v>85</v>
      </c>
      <c r="B5" s="9">
        <v>3</v>
      </c>
      <c r="C5" s="9" t="s">
        <v>89</v>
      </c>
      <c r="D5" s="9" t="s">
        <v>60</v>
      </c>
    </row>
    <row r="6" spans="1:4">
      <c r="A6" s="9" t="s">
        <v>85</v>
      </c>
      <c r="B6" s="9">
        <v>4</v>
      </c>
      <c r="C6" s="9" t="s">
        <v>90</v>
      </c>
      <c r="D6" s="9" t="s">
        <v>61</v>
      </c>
    </row>
    <row r="7" spans="1:4">
      <c r="A7" s="9" t="s">
        <v>85</v>
      </c>
      <c r="B7" s="9">
        <v>5</v>
      </c>
      <c r="C7" s="9" t="s">
        <v>91</v>
      </c>
      <c r="D7" s="9" t="s">
        <v>92</v>
      </c>
    </row>
    <row r="8" spans="1:4">
      <c r="A8" s="9" t="s">
        <v>85</v>
      </c>
      <c r="B8" s="9">
        <v>6</v>
      </c>
      <c r="C8" s="9" t="s">
        <v>93</v>
      </c>
      <c r="D8" s="9" t="s">
        <v>94</v>
      </c>
    </row>
    <row r="9" spans="1:4">
      <c r="A9" s="9" t="s">
        <v>85</v>
      </c>
      <c r="B9" s="9">
        <v>7</v>
      </c>
      <c r="C9" s="9" t="s">
        <v>95</v>
      </c>
      <c r="D9" s="9" t="s">
        <v>96</v>
      </c>
    </row>
    <row r="10" spans="1:4">
      <c r="A10" s="9" t="s">
        <v>97</v>
      </c>
      <c r="B10" s="9">
        <v>8</v>
      </c>
      <c r="C10" s="9" t="s">
        <v>98</v>
      </c>
      <c r="D10" s="9" t="s">
        <v>97</v>
      </c>
    </row>
    <row r="11" spans="1:4">
      <c r="A11" s="9" t="s">
        <v>97</v>
      </c>
      <c r="B11" s="9">
        <v>9</v>
      </c>
      <c r="C11" s="9" t="s">
        <v>99</v>
      </c>
      <c r="D11" s="9" t="s">
        <v>97</v>
      </c>
    </row>
    <row r="12" spans="1:4">
      <c r="A12" s="9" t="s">
        <v>97</v>
      </c>
      <c r="B12" s="9">
        <v>10</v>
      </c>
      <c r="C12" s="9" t="s">
        <v>100</v>
      </c>
      <c r="D12" s="9" t="s">
        <v>97</v>
      </c>
    </row>
    <row r="13" spans="1:4">
      <c r="A13" s="9" t="s">
        <v>97</v>
      </c>
      <c r="B13" s="9">
        <v>11</v>
      </c>
      <c r="C13" s="9" t="s">
        <v>101</v>
      </c>
      <c r="D13" s="9" t="s">
        <v>97</v>
      </c>
    </row>
    <row r="14" spans="1:4">
      <c r="A14" s="9" t="s">
        <v>97</v>
      </c>
      <c r="B14" s="9">
        <v>12</v>
      </c>
      <c r="C14" s="9" t="s">
        <v>102</v>
      </c>
      <c r="D14" s="9" t="s">
        <v>103</v>
      </c>
    </row>
    <row r="15" spans="1:4">
      <c r="A15" s="9" t="s">
        <v>97</v>
      </c>
      <c r="B15" s="9">
        <v>13</v>
      </c>
      <c r="C15" s="9" t="s">
        <v>104</v>
      </c>
      <c r="D15" s="9" t="s">
        <v>105</v>
      </c>
    </row>
    <row r="16" spans="1:4">
      <c r="A16" s="9" t="s">
        <v>97</v>
      </c>
      <c r="B16" s="9">
        <v>14</v>
      </c>
      <c r="C16" s="9" t="s">
        <v>106</v>
      </c>
      <c r="D16" s="9" t="s">
        <v>107</v>
      </c>
    </row>
    <row r="17" spans="1:4">
      <c r="A17" s="9" t="s">
        <v>108</v>
      </c>
      <c r="B17" s="9">
        <v>15</v>
      </c>
      <c r="C17" s="9" t="s">
        <v>109</v>
      </c>
      <c r="D17" s="9" t="s">
        <v>110</v>
      </c>
    </row>
    <row r="18" spans="1:4">
      <c r="A18" s="9" t="s">
        <v>108</v>
      </c>
      <c r="B18" s="9">
        <v>16</v>
      </c>
      <c r="C18" s="9" t="s">
        <v>111</v>
      </c>
      <c r="D18" s="9" t="s">
        <v>112</v>
      </c>
    </row>
    <row r="19" spans="1:4">
      <c r="A19" s="9" t="s">
        <v>108</v>
      </c>
      <c r="B19" s="9">
        <v>17</v>
      </c>
      <c r="C19" s="9" t="s">
        <v>113</v>
      </c>
      <c r="D19" s="9" t="s">
        <v>114</v>
      </c>
    </row>
    <row r="20" spans="1:4">
      <c r="A20" s="9" t="s">
        <v>108</v>
      </c>
      <c r="B20" s="9">
        <v>18</v>
      </c>
      <c r="C20" s="9" t="s">
        <v>115</v>
      </c>
      <c r="D20" s="9" t="s">
        <v>116</v>
      </c>
    </row>
    <row r="21" spans="1:4">
      <c r="A21" s="9" t="s">
        <v>108</v>
      </c>
      <c r="B21" s="9">
        <v>19</v>
      </c>
      <c r="C21" s="9" t="s">
        <v>117</v>
      </c>
      <c r="D21" s="9" t="s">
        <v>118</v>
      </c>
    </row>
    <row r="22" spans="1:4">
      <c r="A22" s="9" t="s">
        <v>108</v>
      </c>
      <c r="B22" s="9">
        <v>20</v>
      </c>
      <c r="C22" s="9" t="s">
        <v>119</v>
      </c>
      <c r="D22" s="9" t="s">
        <v>120</v>
      </c>
    </row>
    <row r="23" spans="1:4">
      <c r="A23" s="9" t="s">
        <v>121</v>
      </c>
      <c r="B23" s="9">
        <v>21</v>
      </c>
      <c r="C23" s="9" t="s">
        <v>122</v>
      </c>
      <c r="D23" s="9" t="s">
        <v>123</v>
      </c>
    </row>
    <row r="24" spans="1:4">
      <c r="A24" s="9" t="s">
        <v>121</v>
      </c>
      <c r="B24" s="9">
        <v>22</v>
      </c>
      <c r="C24" s="9" t="s">
        <v>124</v>
      </c>
      <c r="D24" s="9" t="s">
        <v>125</v>
      </c>
    </row>
  </sheetData>
  <mergeCells count="1">
    <mergeCell ref="A1:D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3" customWidth="1"/>
    <col min="2" max="2" width="26" customWidth="1"/>
    <col min="3" max="3" width="40" customWidth="1"/>
  </cols>
  <sheetData>
    <row r="1" spans="1:3" ht="21">
      <c r="A1" s="12" t="s">
        <v>126</v>
      </c>
      <c r="B1" s="11"/>
      <c r="C1" s="11"/>
    </row>
    <row r="2" spans="1:3">
      <c r="A2" s="1" t="s">
        <v>127</v>
      </c>
      <c r="B2" s="1" t="s">
        <v>128</v>
      </c>
      <c r="C2" s="1" t="s">
        <v>129</v>
      </c>
    </row>
    <row r="3" spans="1:3">
      <c r="A3" s="9" t="s">
        <v>130</v>
      </c>
      <c r="B3" s="9" t="s">
        <v>131</v>
      </c>
      <c r="C3" s="9" t="s">
        <v>132</v>
      </c>
    </row>
    <row r="4" spans="1:3">
      <c r="A4" s="9" t="s">
        <v>97</v>
      </c>
      <c r="B4" s="9" t="s">
        <v>133</v>
      </c>
      <c r="C4" s="9" t="s">
        <v>134</v>
      </c>
    </row>
    <row r="5" spans="1:3">
      <c r="A5" s="9" t="s">
        <v>135</v>
      </c>
      <c r="B5" s="9" t="s">
        <v>136</v>
      </c>
      <c r="C5" s="9" t="e">
        <f ca="1">_xludf.FORECAST.LINEAR(TimeIndex,ActualSales,TimeIndexRange)</f>
        <v>#NAME?</v>
      </c>
    </row>
    <row r="6" spans="1:3">
      <c r="A6" s="9" t="s">
        <v>137</v>
      </c>
      <c r="B6" s="9" t="s">
        <v>138</v>
      </c>
      <c r="C6" s="9" t="e">
        <f>Actual-_xludf.Forecast</f>
        <v>#NAME?</v>
      </c>
    </row>
    <row r="7" spans="1:3">
      <c r="A7" s="9" t="s">
        <v>139</v>
      </c>
      <c r="B7" s="9" t="s">
        <v>140</v>
      </c>
      <c r="C7" s="9" t="e">
        <f>ABS(_xludf.Error/Actual)</f>
        <v>#NAME?</v>
      </c>
    </row>
    <row r="8" spans="1:3">
      <c r="A8" s="9" t="s">
        <v>141</v>
      </c>
      <c r="B8" s="9" t="s">
        <v>142</v>
      </c>
      <c r="C8" s="9" t="e">
        <f>AVERAGE(F3:F32)</f>
        <v>#DIV/0!</v>
      </c>
    </row>
  </sheetData>
  <mergeCells count="1">
    <mergeCell ref="A1:C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Samar Rehal</cp:lastModifiedBy>
  <cp:revision/>
  <dcterms:created xsi:type="dcterms:W3CDTF">2026-08-13T00:33:30Z</dcterms:created>
  <dcterms:modified xsi:type="dcterms:W3CDTF">2026-09-11T14:59:09Z</dcterms:modified>
  <cp:category/>
  <cp:contentStatus/>
</cp:coreProperties>
</file>